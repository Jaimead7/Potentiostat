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ACTIVIDADES EN CURSO\SE-001. Demostradores y prototipos\3-SensorVolante\3-Potenciostato\"/>
    </mc:Choice>
  </mc:AlternateContent>
  <bookViews>
    <workbookView xWindow="0" yWindow="0" windowWidth="28800" windowHeight="12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8" i="1" l="1"/>
  <c r="I38" i="1"/>
  <c r="H43" i="1"/>
  <c r="H42" i="1"/>
  <c r="H19" i="1"/>
  <c r="H18" i="1"/>
  <c r="O44" i="1"/>
  <c r="D44" i="1"/>
  <c r="D45" i="1" s="1"/>
  <c r="O45" i="1" l="1"/>
  <c r="S40" i="1" l="1"/>
  <c r="R40" i="1" s="1"/>
  <c r="H33" i="1"/>
  <c r="I33" i="1" s="1"/>
  <c r="H40" i="1"/>
  <c r="G40" i="1" s="1"/>
  <c r="T39" i="1"/>
  <c r="S39" i="1" s="1"/>
  <c r="R39" i="1" s="1"/>
  <c r="I39" i="1"/>
  <c r="H38" i="1" s="1"/>
  <c r="G38" i="1" s="1"/>
  <c r="D21" i="1"/>
  <c r="O21" i="1"/>
  <c r="O23" i="1"/>
  <c r="D23" i="1"/>
  <c r="S33" i="1"/>
  <c r="T33" i="1" s="1"/>
  <c r="R35" i="1"/>
  <c r="S35" i="1" s="1"/>
  <c r="T35" i="1" s="1"/>
  <c r="G35" i="1"/>
  <c r="H35" i="1" s="1"/>
  <c r="I35" i="1" s="1"/>
  <c r="V15" i="1"/>
  <c r="U15" i="1" s="1"/>
  <c r="T15" i="1" s="1"/>
  <c r="S15" i="1" s="1"/>
  <c r="K15" i="1"/>
  <c r="J15" i="1" s="1"/>
  <c r="I15" i="1" s="1"/>
  <c r="O34" i="1"/>
  <c r="D34" i="1"/>
  <c r="J40" i="1" s="1"/>
  <c r="H28" i="1"/>
  <c r="G34" i="1" s="1"/>
  <c r="H34" i="1" s="1"/>
  <c r="H4" i="1"/>
  <c r="V16" i="1" s="1"/>
  <c r="U16" i="1" s="1"/>
  <c r="T16" i="1" s="1"/>
  <c r="S16" i="1" s="1"/>
  <c r="U14" i="1"/>
  <c r="O10" i="1"/>
  <c r="S18" i="1" s="1"/>
  <c r="J14" i="1"/>
  <c r="I14" i="1" s="1"/>
  <c r="D10" i="1"/>
  <c r="G9" i="1" s="1"/>
  <c r="U40" i="1" l="1"/>
  <c r="S43" i="1"/>
  <c r="S42" i="1"/>
  <c r="S10" i="1"/>
  <c r="T10" i="1"/>
  <c r="U10" i="1" s="1"/>
  <c r="V10" i="1" s="1"/>
  <c r="I34" i="1"/>
  <c r="J34" i="1" s="1"/>
  <c r="U39" i="1"/>
  <c r="J33" i="1"/>
  <c r="J35" i="1"/>
  <c r="J39" i="1"/>
  <c r="U35" i="1"/>
  <c r="U33" i="1"/>
  <c r="J38" i="1"/>
  <c r="H39" i="1"/>
  <c r="G39" i="1" s="1"/>
  <c r="R9" i="1"/>
  <c r="S9" i="1" s="1"/>
  <c r="R34" i="1"/>
  <c r="S34" i="1" s="1"/>
  <c r="K16" i="1"/>
  <c r="J16" i="1" s="1"/>
  <c r="I16" i="1" s="1"/>
  <c r="H16" i="1" s="1"/>
  <c r="G16" i="1" s="1"/>
  <c r="T14" i="1"/>
  <c r="S14" i="1" s="1"/>
  <c r="R14" i="1" s="1"/>
  <c r="G11" i="1"/>
  <c r="H11" i="1" s="1"/>
  <c r="I11" i="1" s="1"/>
  <c r="H9" i="1"/>
  <c r="I9" i="1" s="1"/>
  <c r="R15" i="1"/>
  <c r="R11" i="1"/>
  <c r="S11" i="1" s="1"/>
  <c r="R16" i="1"/>
  <c r="H10" i="1"/>
  <c r="H14" i="1"/>
  <c r="G14" i="1" s="1"/>
  <c r="H15" i="1"/>
  <c r="G15" i="1" s="1"/>
  <c r="I10" i="1" l="1"/>
  <c r="J10" i="1" s="1"/>
  <c r="K10" i="1" s="1"/>
  <c r="T9" i="1"/>
  <c r="U9" i="1" s="1"/>
  <c r="V9" i="1" s="1"/>
  <c r="T11" i="1"/>
  <c r="U11" i="1" s="1"/>
  <c r="V11" i="1" s="1"/>
  <c r="S19" i="1" s="1"/>
  <c r="T34" i="1"/>
  <c r="U34" i="1" s="1"/>
  <c r="S38" i="1"/>
  <c r="R38" i="1" s="1"/>
  <c r="U38" i="1"/>
  <c r="J9" i="1"/>
  <c r="K9" i="1" s="1"/>
  <c r="J11" i="1"/>
  <c r="K11" i="1" s="1"/>
</calcChain>
</file>

<file path=xl/sharedStrings.xml><?xml version="1.0" encoding="utf-8"?>
<sst xmlns="http://schemas.openxmlformats.org/spreadsheetml/2006/main" count="166" uniqueCount="43">
  <si>
    <t>V WE</t>
  </si>
  <si>
    <t>Vo</t>
  </si>
  <si>
    <t>Vi</t>
  </si>
  <si>
    <t>V PWM</t>
  </si>
  <si>
    <t>DC PWM</t>
  </si>
  <si>
    <t>Vcc</t>
  </si>
  <si>
    <t>V</t>
  </si>
  <si>
    <t>PWM precision</t>
  </si>
  <si>
    <t>bits</t>
  </si>
  <si>
    <t>PWM Max</t>
  </si>
  <si>
    <t>R2</t>
  </si>
  <si>
    <t>R3</t>
  </si>
  <si>
    <t>R4</t>
  </si>
  <si>
    <t>Vb1</t>
  </si>
  <si>
    <t>Ω</t>
  </si>
  <si>
    <t>opAmp +</t>
  </si>
  <si>
    <t>opAmp -</t>
  </si>
  <si>
    <t>Cálculo de tensión de WE</t>
  </si>
  <si>
    <t>Arduino Uno</t>
  </si>
  <si>
    <t>ESP32</t>
  </si>
  <si>
    <t>WE max</t>
  </si>
  <si>
    <t>WE min</t>
  </si>
  <si>
    <t>R2 necesaria</t>
  </si>
  <si>
    <t>R3 necesaria</t>
  </si>
  <si>
    <t>R4 necesaria</t>
  </si>
  <si>
    <t>Cálculo de corriente de CE</t>
  </si>
  <si>
    <t>CE max</t>
  </si>
  <si>
    <t>CE min</t>
  </si>
  <si>
    <t>uA</t>
  </si>
  <si>
    <t>V A0</t>
  </si>
  <si>
    <t>R5</t>
  </si>
  <si>
    <t>R6</t>
  </si>
  <si>
    <t>Vb2</t>
  </si>
  <si>
    <t>A CE (uA)</t>
  </si>
  <si>
    <t>R5 necesaria</t>
  </si>
  <si>
    <t>R6 necesaria</t>
  </si>
  <si>
    <t>ACDC</t>
  </si>
  <si>
    <t>opAmp Drop +</t>
  </si>
  <si>
    <t>opAmp Drop -</t>
  </si>
  <si>
    <t>WE precision</t>
  </si>
  <si>
    <t>ACDC precision</t>
  </si>
  <si>
    <t>ACDC Max</t>
  </si>
  <si>
    <t>CE 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</si>
</sst>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0000"/>
    <numFmt numFmtId="171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ITC Avant Garde Std Bk"/>
      <family val="2"/>
    </font>
    <font>
      <b/>
      <sz val="12"/>
      <color theme="1"/>
      <name val="ITC Avant Garde Std Bk"/>
      <family val="2"/>
    </font>
    <font>
      <b/>
      <sz val="16"/>
      <color theme="1"/>
      <name val="ITC Avant Garde Std Bk"/>
      <family val="2"/>
    </font>
    <font>
      <b/>
      <sz val="18"/>
      <color theme="1"/>
      <name val="ITC Avant Garde Std Bk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W46"/>
  <sheetViews>
    <sheetView showGridLines="0" tabSelected="1" zoomScale="85" zoomScaleNormal="85" workbookViewId="0">
      <selection activeCell="J20" sqref="J20"/>
    </sheetView>
  </sheetViews>
  <sheetFormatPr baseColWidth="10" defaultRowHeight="15.75" x14ac:dyDescent="0.25"/>
  <cols>
    <col min="1" max="1" width="11.42578125" style="1"/>
    <col min="2" max="2" width="2.85546875" style="1" customWidth="1"/>
    <col min="3" max="3" width="20.140625" style="1" bestFit="1" customWidth="1"/>
    <col min="4" max="4" width="14.7109375" style="1" customWidth="1"/>
    <col min="5" max="5" width="5" style="1" bestFit="1" customWidth="1"/>
    <col min="6" max="6" width="2.85546875" style="1" customWidth="1"/>
    <col min="7" max="7" width="18.5703125" style="1" customWidth="1"/>
    <col min="8" max="9" width="15.42578125" style="1" bestFit="1" customWidth="1"/>
    <col min="10" max="11" width="16" style="1" bestFit="1" customWidth="1"/>
    <col min="12" max="13" width="2.85546875" style="1" customWidth="1"/>
    <col min="14" max="14" width="20.140625" style="1" customWidth="1"/>
    <col min="15" max="15" width="14.7109375" style="1" customWidth="1"/>
    <col min="16" max="16" width="5" style="1" bestFit="1" customWidth="1"/>
    <col min="17" max="17" width="2.85546875" style="1" customWidth="1"/>
    <col min="18" max="18" width="18.5703125" style="1" customWidth="1"/>
    <col min="19" max="20" width="15.42578125" style="1" bestFit="1" customWidth="1"/>
    <col min="21" max="22" width="16" style="1" bestFit="1" customWidth="1"/>
    <col min="23" max="23" width="2.85546875" style="1" customWidth="1"/>
    <col min="24" max="16384" width="11.42578125" style="1"/>
  </cols>
  <sheetData>
    <row r="1" spans="2:23" ht="16.5" thickBot="1" x14ac:dyDescent="0.3"/>
    <row r="2" spans="2:23" ht="24.75" thickBot="1" x14ac:dyDescent="0.3">
      <c r="B2" s="18" t="s">
        <v>17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/>
    </row>
    <row r="3" spans="2:23" x14ac:dyDescent="0.25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2:23" x14ac:dyDescent="0.25">
      <c r="B4" s="9"/>
      <c r="C4" s="15" t="s">
        <v>20</v>
      </c>
      <c r="D4" s="5">
        <v>1.1000000000000001</v>
      </c>
      <c r="E4" s="4" t="s">
        <v>6</v>
      </c>
      <c r="F4" s="10"/>
      <c r="G4" s="15" t="s">
        <v>21</v>
      </c>
      <c r="H4" s="4">
        <f>-D4</f>
        <v>-1.1000000000000001</v>
      </c>
      <c r="I4" s="4" t="s">
        <v>6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2:23" ht="16.5" thickBot="1" x14ac:dyDescent="0.3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2:23" ht="21.75" thickBot="1" x14ac:dyDescent="0.3">
      <c r="B6" s="21" t="s">
        <v>18</v>
      </c>
      <c r="C6" s="22"/>
      <c r="D6" s="22"/>
      <c r="E6" s="22"/>
      <c r="F6" s="22"/>
      <c r="G6" s="22"/>
      <c r="H6" s="22"/>
      <c r="I6" s="22"/>
      <c r="J6" s="22"/>
      <c r="K6" s="22"/>
      <c r="L6" s="23"/>
      <c r="M6" s="21" t="s">
        <v>19</v>
      </c>
      <c r="N6" s="22"/>
      <c r="O6" s="22"/>
      <c r="P6" s="22"/>
      <c r="Q6" s="22"/>
      <c r="R6" s="22"/>
      <c r="S6" s="22"/>
      <c r="T6" s="22"/>
      <c r="U6" s="22"/>
      <c r="V6" s="22"/>
      <c r="W6" s="23"/>
    </row>
    <row r="7" spans="2:23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8"/>
      <c r="M7" s="9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2:23" x14ac:dyDescent="0.25">
      <c r="B8" s="9"/>
      <c r="C8" s="15" t="s">
        <v>5</v>
      </c>
      <c r="D8" s="4">
        <v>5</v>
      </c>
      <c r="E8" s="4" t="s">
        <v>6</v>
      </c>
      <c r="F8" s="10"/>
      <c r="G8" s="2" t="s">
        <v>4</v>
      </c>
      <c r="H8" s="2" t="s">
        <v>3</v>
      </c>
      <c r="I8" s="2" t="s">
        <v>2</v>
      </c>
      <c r="J8" s="2" t="s">
        <v>1</v>
      </c>
      <c r="K8" s="2" t="s">
        <v>0</v>
      </c>
      <c r="L8" s="11"/>
      <c r="M8" s="9"/>
      <c r="N8" s="15" t="s">
        <v>5</v>
      </c>
      <c r="O8" s="4">
        <v>3.3</v>
      </c>
      <c r="P8" s="4" t="s">
        <v>6</v>
      </c>
      <c r="Q8" s="10"/>
      <c r="R8" s="2" t="s">
        <v>4</v>
      </c>
      <c r="S8" s="2" t="s">
        <v>3</v>
      </c>
      <c r="T8" s="2" t="s">
        <v>2</v>
      </c>
      <c r="U8" s="2" t="s">
        <v>1</v>
      </c>
      <c r="V8" s="2" t="s">
        <v>0</v>
      </c>
      <c r="W8" s="11"/>
    </row>
    <row r="9" spans="2:23" x14ac:dyDescent="0.25">
      <c r="B9" s="9"/>
      <c r="C9" s="15" t="s">
        <v>7</v>
      </c>
      <c r="D9" s="4">
        <v>8</v>
      </c>
      <c r="E9" s="4" t="s">
        <v>8</v>
      </c>
      <c r="F9" s="10"/>
      <c r="G9" s="5">
        <f>D10/2</f>
        <v>127.5</v>
      </c>
      <c r="H9" s="4">
        <f>G9*$D$8/$D$10</f>
        <v>2.5</v>
      </c>
      <c r="I9" s="4">
        <f>MIN(MAX(H9,$D$12+$D$14),$D$11-$D$13)</f>
        <v>2.5</v>
      </c>
      <c r="J9" s="4">
        <f>-$D$18*((I9/$D$16)+($D$19/$D$17))</f>
        <v>2.156862745098043E-2</v>
      </c>
      <c r="K9" s="4">
        <f>MIN(MAX(J9,$D$12+$D$13),$D$11-$D$13)</f>
        <v>2.156862745098043E-2</v>
      </c>
      <c r="L9" s="11"/>
      <c r="M9" s="9"/>
      <c r="N9" s="15" t="s">
        <v>7</v>
      </c>
      <c r="O9" s="4">
        <v>10</v>
      </c>
      <c r="P9" s="4" t="s">
        <v>8</v>
      </c>
      <c r="Q9" s="10"/>
      <c r="R9" s="5">
        <f>O10/2</f>
        <v>511.5</v>
      </c>
      <c r="S9" s="4">
        <f>R9*$O$8/$O$10</f>
        <v>1.65</v>
      </c>
      <c r="T9" s="4">
        <f>MIN(MAX(S9,$O$12+$O$14),$O$11-$O$13)</f>
        <v>1.65</v>
      </c>
      <c r="U9" s="4">
        <f>-$O$18*((T9/$O$16)+($O$19/$O$17))</f>
        <v>0</v>
      </c>
      <c r="V9" s="4">
        <f>MIN(MAX(U9,$O$12+$O$13),$O$11-$O$13)</f>
        <v>0</v>
      </c>
      <c r="W9" s="11"/>
    </row>
    <row r="10" spans="2:23" x14ac:dyDescent="0.25">
      <c r="B10" s="9"/>
      <c r="C10" s="15" t="s">
        <v>9</v>
      </c>
      <c r="D10" s="4">
        <f>POWER(2,D9)-1</f>
        <v>255</v>
      </c>
      <c r="E10" s="4"/>
      <c r="F10" s="10"/>
      <c r="G10" s="3">
        <v>0</v>
      </c>
      <c r="H10" s="4">
        <f>G10*$D$8/$D$10</f>
        <v>0</v>
      </c>
      <c r="I10" s="4">
        <f>MIN(MAX(H10,$D$12+$D$14),$D$11-$D$13)</f>
        <v>0</v>
      </c>
      <c r="J10" s="4">
        <f>-$D$18*((I10/$D$16)+($D$19/$D$17))</f>
        <v>1.1000000000000001</v>
      </c>
      <c r="K10" s="17">
        <f>MIN(MAX(J10,$D$12+$D$13),$D$11-$D$13)</f>
        <v>1.1000000000000001</v>
      </c>
      <c r="L10" s="11"/>
      <c r="M10" s="9"/>
      <c r="N10" s="15" t="s">
        <v>9</v>
      </c>
      <c r="O10" s="4">
        <f>POWER(2,O9)-1</f>
        <v>1023</v>
      </c>
      <c r="P10" s="4"/>
      <c r="Q10" s="10"/>
      <c r="R10" s="3">
        <v>0</v>
      </c>
      <c r="S10" s="4">
        <f>R10*$O$8/$O$10</f>
        <v>0</v>
      </c>
      <c r="T10" s="4">
        <f>MIN(MAX(S10,$O$12+$O$14),$O$11-$O$13)</f>
        <v>0</v>
      </c>
      <c r="U10" s="4">
        <f>-$O$18*((T10/$O$16)+($O$19/$O$17))</f>
        <v>1.1000000000000001</v>
      </c>
      <c r="V10" s="17">
        <f>MIN(MAX(U10,$O$12+$O$13),$O$11-$O$13)</f>
        <v>1.1000000000000001</v>
      </c>
      <c r="W10" s="11"/>
    </row>
    <row r="11" spans="2:23" x14ac:dyDescent="0.25">
      <c r="B11" s="9"/>
      <c r="C11" s="15" t="s">
        <v>15</v>
      </c>
      <c r="D11" s="5">
        <v>6.5</v>
      </c>
      <c r="E11" s="4" t="s">
        <v>6</v>
      </c>
      <c r="F11" s="10"/>
      <c r="G11" s="3">
        <f>$D$10</f>
        <v>255</v>
      </c>
      <c r="H11" s="4">
        <f>G11*$D$8/$D$10</f>
        <v>5</v>
      </c>
      <c r="I11" s="4">
        <f>MIN(MAX(H11,$D$12+$D$14),$D$11-$D$13)</f>
        <v>5</v>
      </c>
      <c r="J11" s="4">
        <f>-$D$18*((I11/$D$16)+($D$19/$D$17))</f>
        <v>-1.0568627450980392</v>
      </c>
      <c r="K11" s="17">
        <f>MIN(MAX(J11,$D$12+$D$13),$D$11-$D$13)</f>
        <v>-1.0568627450980392</v>
      </c>
      <c r="L11" s="11"/>
      <c r="M11" s="9"/>
      <c r="N11" s="15" t="s">
        <v>15</v>
      </c>
      <c r="O11" s="5">
        <v>6.5</v>
      </c>
      <c r="P11" s="4" t="s">
        <v>6</v>
      </c>
      <c r="Q11" s="10"/>
      <c r="R11" s="3">
        <f>$O$10</f>
        <v>1023</v>
      </c>
      <c r="S11" s="4">
        <f>R11*$O$8/$O$10</f>
        <v>3.3</v>
      </c>
      <c r="T11" s="4">
        <f>MIN(MAX(S11,$O$12+$O$14),$O$11-$O$13)</f>
        <v>3.3</v>
      </c>
      <c r="U11" s="4">
        <f>-$O$18*((T11/$O$16)+($O$19/$O$17))</f>
        <v>-1.1000000000000001</v>
      </c>
      <c r="V11" s="17">
        <f>MIN(MAX(U11,$O$12+$O$13),$O$11-$O$13)</f>
        <v>-1.1000000000000001</v>
      </c>
      <c r="W11" s="11"/>
    </row>
    <row r="12" spans="2:23" x14ac:dyDescent="0.25">
      <c r="B12" s="9"/>
      <c r="C12" s="15" t="s">
        <v>16</v>
      </c>
      <c r="D12" s="5">
        <v>-6.5</v>
      </c>
      <c r="E12" s="4" t="s">
        <v>6</v>
      </c>
      <c r="F12" s="10"/>
      <c r="G12" s="10"/>
      <c r="H12" s="10"/>
      <c r="I12" s="10"/>
      <c r="J12" s="10"/>
      <c r="K12" s="10"/>
      <c r="L12" s="11"/>
      <c r="M12" s="9"/>
      <c r="N12" s="15" t="s">
        <v>16</v>
      </c>
      <c r="O12" s="5">
        <v>-6.5</v>
      </c>
      <c r="P12" s="4" t="s">
        <v>6</v>
      </c>
      <c r="Q12" s="10"/>
      <c r="R12" s="10"/>
      <c r="S12" s="10"/>
      <c r="T12" s="10"/>
      <c r="U12" s="10"/>
      <c r="V12" s="10"/>
      <c r="W12" s="11"/>
    </row>
    <row r="13" spans="2:23" x14ac:dyDescent="0.25">
      <c r="B13" s="9"/>
      <c r="C13" s="15" t="s">
        <v>37</v>
      </c>
      <c r="D13" s="4">
        <v>1.5</v>
      </c>
      <c r="E13" s="4" t="s">
        <v>6</v>
      </c>
      <c r="F13" s="10"/>
      <c r="G13" s="2" t="s">
        <v>4</v>
      </c>
      <c r="H13" s="2" t="s">
        <v>3</v>
      </c>
      <c r="I13" s="2" t="s">
        <v>2</v>
      </c>
      <c r="J13" s="2" t="s">
        <v>1</v>
      </c>
      <c r="K13" s="2" t="s">
        <v>0</v>
      </c>
      <c r="L13" s="11"/>
      <c r="M13" s="9"/>
      <c r="N13" s="15" t="s">
        <v>37</v>
      </c>
      <c r="O13" s="4">
        <v>1.5</v>
      </c>
      <c r="P13" s="4" t="s">
        <v>6</v>
      </c>
      <c r="Q13" s="10"/>
      <c r="R13" s="2" t="s">
        <v>4</v>
      </c>
      <c r="S13" s="2" t="s">
        <v>3</v>
      </c>
      <c r="T13" s="2" t="s">
        <v>2</v>
      </c>
      <c r="U13" s="2" t="s">
        <v>1</v>
      </c>
      <c r="V13" s="2" t="s">
        <v>0</v>
      </c>
      <c r="W13" s="11"/>
    </row>
    <row r="14" spans="2:23" x14ac:dyDescent="0.25">
      <c r="B14" s="9"/>
      <c r="C14" s="15" t="s">
        <v>38</v>
      </c>
      <c r="D14" s="4">
        <v>2E-3</v>
      </c>
      <c r="E14" s="4" t="s">
        <v>6</v>
      </c>
      <c r="F14" s="10"/>
      <c r="G14" s="3">
        <f>H14*$D$10/$D$8</f>
        <v>130.05000000000001</v>
      </c>
      <c r="H14" s="4">
        <f>I14</f>
        <v>2.5500000000000003</v>
      </c>
      <c r="I14" s="4">
        <f>-$D$16*(($D$19/$D$17)+(J14/$D$18))</f>
        <v>2.5500000000000003</v>
      </c>
      <c r="J14" s="4">
        <f>K14</f>
        <v>0</v>
      </c>
      <c r="K14" s="5">
        <v>0</v>
      </c>
      <c r="L14" s="11"/>
      <c r="M14" s="9"/>
      <c r="N14" s="15" t="s">
        <v>38</v>
      </c>
      <c r="O14" s="4">
        <v>2E-3</v>
      </c>
      <c r="P14" s="4" t="s">
        <v>6</v>
      </c>
      <c r="Q14" s="10"/>
      <c r="R14" s="3">
        <f>S14*$O$10/$O$8</f>
        <v>511.50000000000006</v>
      </c>
      <c r="S14" s="4">
        <f>T14</f>
        <v>1.6500000000000001</v>
      </c>
      <c r="T14" s="4">
        <f>-$O$16*(($O$19/$O$17)+(U14/$O$18))</f>
        <v>1.6500000000000001</v>
      </c>
      <c r="U14" s="4">
        <f>V14</f>
        <v>0</v>
      </c>
      <c r="V14" s="5">
        <v>0</v>
      </c>
      <c r="W14" s="11"/>
    </row>
    <row r="15" spans="2:23" x14ac:dyDescent="0.25">
      <c r="B15" s="9"/>
      <c r="C15" s="10"/>
      <c r="D15" s="10"/>
      <c r="E15" s="10"/>
      <c r="F15" s="10"/>
      <c r="G15" s="3">
        <f>H15*$D$10/$D$8</f>
        <v>0</v>
      </c>
      <c r="H15" s="4">
        <f>I15</f>
        <v>0</v>
      </c>
      <c r="I15" s="4">
        <f>-$D$16*(($D$19/$D$17)+(J15/$D$18))</f>
        <v>0</v>
      </c>
      <c r="J15" s="4">
        <f>K15</f>
        <v>1.1000000000000001</v>
      </c>
      <c r="K15" s="3">
        <f>D4</f>
        <v>1.1000000000000001</v>
      </c>
      <c r="L15" s="11"/>
      <c r="M15" s="9"/>
      <c r="N15" s="10"/>
      <c r="O15" s="10"/>
      <c r="P15" s="10"/>
      <c r="Q15" s="10"/>
      <c r="R15" s="3">
        <f>S15*$O$10/$O$8</f>
        <v>0</v>
      </c>
      <c r="S15" s="4">
        <f>T15</f>
        <v>0</v>
      </c>
      <c r="T15" s="4">
        <f>-$O$16*(($O$19/$O$17)+(U15/$O$18))</f>
        <v>0</v>
      </c>
      <c r="U15" s="4">
        <f>V15</f>
        <v>1.1000000000000001</v>
      </c>
      <c r="V15" s="3">
        <f>D4</f>
        <v>1.1000000000000001</v>
      </c>
      <c r="W15" s="11"/>
    </row>
    <row r="16" spans="2:23" x14ac:dyDescent="0.25">
      <c r="B16" s="9"/>
      <c r="C16" s="15" t="s">
        <v>10</v>
      </c>
      <c r="D16" s="4">
        <v>510</v>
      </c>
      <c r="E16" s="4" t="s">
        <v>14</v>
      </c>
      <c r="F16" s="10"/>
      <c r="G16" s="3">
        <f>H16*$D$10/$D$8</f>
        <v>260.10000000000002</v>
      </c>
      <c r="H16" s="4">
        <f>I16</f>
        <v>5.1000000000000005</v>
      </c>
      <c r="I16" s="4">
        <f>-$D$16*(($D$19/$D$17)+(J16/$D$18))</f>
        <v>5.1000000000000005</v>
      </c>
      <c r="J16" s="4">
        <f>K16</f>
        <v>-1.1000000000000001</v>
      </c>
      <c r="K16" s="3">
        <f>H4</f>
        <v>-1.1000000000000001</v>
      </c>
      <c r="L16" s="11"/>
      <c r="M16" s="9"/>
      <c r="N16" s="15" t="s">
        <v>10</v>
      </c>
      <c r="O16" s="4">
        <v>330</v>
      </c>
      <c r="P16" s="4" t="s">
        <v>14</v>
      </c>
      <c r="Q16" s="10"/>
      <c r="R16" s="3">
        <f>S16*$O$10/$O$8</f>
        <v>1023.0000000000001</v>
      </c>
      <c r="S16" s="4">
        <f>T16</f>
        <v>3.3000000000000003</v>
      </c>
      <c r="T16" s="4">
        <f>-$O$16*(($O$19/$O$17)+(U16/$O$18))</f>
        <v>3.3000000000000003</v>
      </c>
      <c r="U16" s="4">
        <f>V16</f>
        <v>-1.1000000000000001</v>
      </c>
      <c r="V16" s="3">
        <f>H4</f>
        <v>-1.1000000000000001</v>
      </c>
      <c r="W16" s="11"/>
    </row>
    <row r="17" spans="2:23" x14ac:dyDescent="0.25">
      <c r="B17" s="9"/>
      <c r="C17" s="15" t="s">
        <v>11</v>
      </c>
      <c r="D17" s="4">
        <v>1000</v>
      </c>
      <c r="E17" s="4" t="s">
        <v>14</v>
      </c>
      <c r="F17" s="10"/>
      <c r="G17" s="10"/>
      <c r="H17" s="10"/>
      <c r="I17" s="10"/>
      <c r="J17" s="10"/>
      <c r="K17" s="10"/>
      <c r="L17" s="11"/>
      <c r="M17" s="9"/>
      <c r="N17" s="15" t="s">
        <v>11</v>
      </c>
      <c r="O17" s="4">
        <v>1000</v>
      </c>
      <c r="P17" s="4" t="s">
        <v>14</v>
      </c>
      <c r="Q17" s="10"/>
      <c r="R17" s="10"/>
      <c r="S17" s="10"/>
      <c r="T17" s="10"/>
      <c r="U17" s="10"/>
      <c r="V17" s="10"/>
      <c r="W17" s="11"/>
    </row>
    <row r="18" spans="2:23" x14ac:dyDescent="0.25">
      <c r="B18" s="9"/>
      <c r="C18" s="15" t="s">
        <v>12</v>
      </c>
      <c r="D18" s="4">
        <v>220</v>
      </c>
      <c r="E18" s="4" t="s">
        <v>14</v>
      </c>
      <c r="F18" s="10"/>
      <c r="G18" s="15" t="s">
        <v>7</v>
      </c>
      <c r="H18" s="24">
        <f>D8/(D10+1)</f>
        <v>1.953125E-2</v>
      </c>
      <c r="I18" s="4" t="s">
        <v>6</v>
      </c>
      <c r="J18" s="10"/>
      <c r="K18" s="10"/>
      <c r="L18" s="11"/>
      <c r="M18" s="9"/>
      <c r="N18" s="15" t="s">
        <v>12</v>
      </c>
      <c r="O18" s="4">
        <v>220</v>
      </c>
      <c r="P18" s="4" t="s">
        <v>14</v>
      </c>
      <c r="Q18" s="10"/>
      <c r="R18" s="15" t="s">
        <v>7</v>
      </c>
      <c r="S18" s="24">
        <f>O8/(O10+1)</f>
        <v>3.2226562499999998E-3</v>
      </c>
      <c r="T18" s="4" t="s">
        <v>6</v>
      </c>
      <c r="U18" s="10"/>
      <c r="V18" s="10"/>
      <c r="W18" s="11"/>
    </row>
    <row r="19" spans="2:23" x14ac:dyDescent="0.25">
      <c r="B19" s="9"/>
      <c r="C19" s="15" t="s">
        <v>13</v>
      </c>
      <c r="D19" s="4">
        <v>-5</v>
      </c>
      <c r="E19" s="4" t="s">
        <v>6</v>
      </c>
      <c r="F19" s="10"/>
      <c r="G19" s="15" t="s">
        <v>39</v>
      </c>
      <c r="H19" s="24">
        <f>(K10-K11)/(D10+1)</f>
        <v>8.425245098039217E-3</v>
      </c>
      <c r="I19" s="4" t="s">
        <v>6</v>
      </c>
      <c r="J19" s="10"/>
      <c r="K19" s="10"/>
      <c r="L19" s="11"/>
      <c r="M19" s="9"/>
      <c r="N19" s="15" t="s">
        <v>13</v>
      </c>
      <c r="O19" s="4">
        <v>-5</v>
      </c>
      <c r="P19" s="4" t="s">
        <v>6</v>
      </c>
      <c r="Q19" s="10"/>
      <c r="R19" s="15" t="s">
        <v>39</v>
      </c>
      <c r="S19" s="24">
        <f>(V10-V11)/(O10+1)</f>
        <v>2.1484375000000002E-3</v>
      </c>
      <c r="T19" s="4" t="s">
        <v>6</v>
      </c>
      <c r="U19" s="10"/>
      <c r="V19" s="10"/>
      <c r="W19" s="11"/>
    </row>
    <row r="20" spans="2:23" x14ac:dyDescent="0.25">
      <c r="B20" s="9"/>
      <c r="C20" s="16"/>
      <c r="D20" s="10"/>
      <c r="E20" s="10"/>
      <c r="F20" s="10"/>
      <c r="G20" s="10"/>
      <c r="H20" s="10"/>
      <c r="I20" s="10"/>
      <c r="J20" s="10"/>
      <c r="K20" s="10"/>
      <c r="L20" s="11"/>
      <c r="M20" s="9"/>
      <c r="N20" s="16"/>
      <c r="O20" s="10"/>
      <c r="P20" s="10"/>
      <c r="Q20" s="10"/>
      <c r="R20" s="10"/>
      <c r="S20" s="10"/>
      <c r="T20" s="10"/>
      <c r="U20" s="10"/>
      <c r="V20" s="10"/>
      <c r="W20" s="11"/>
    </row>
    <row r="21" spans="2:23" x14ac:dyDescent="0.25">
      <c r="B21" s="9"/>
      <c r="C21" s="15" t="s">
        <v>22</v>
      </c>
      <c r="D21" s="4">
        <f>-O22*D8/(2*D19)</f>
        <v>500</v>
      </c>
      <c r="E21" s="4" t="s">
        <v>14</v>
      </c>
      <c r="F21" s="10"/>
      <c r="G21" s="10"/>
      <c r="H21" s="10"/>
      <c r="I21" s="10"/>
      <c r="J21" s="10"/>
      <c r="K21" s="10"/>
      <c r="L21" s="11"/>
      <c r="M21" s="9"/>
      <c r="N21" s="15" t="s">
        <v>22</v>
      </c>
      <c r="O21" s="4">
        <f>-O22*O8/(2*O19)</f>
        <v>330</v>
      </c>
      <c r="P21" s="4" t="s">
        <v>14</v>
      </c>
      <c r="Q21" s="10"/>
      <c r="R21" s="10"/>
      <c r="S21" s="10"/>
      <c r="T21" s="10"/>
      <c r="U21" s="10"/>
      <c r="V21" s="10"/>
      <c r="W21" s="11"/>
    </row>
    <row r="22" spans="2:23" x14ac:dyDescent="0.25">
      <c r="B22" s="9"/>
      <c r="C22" s="15" t="s">
        <v>23</v>
      </c>
      <c r="D22" s="5">
        <v>1000</v>
      </c>
      <c r="E22" s="4" t="s">
        <v>14</v>
      </c>
      <c r="F22" s="10"/>
      <c r="G22" s="10"/>
      <c r="H22" s="10"/>
      <c r="I22" s="10"/>
      <c r="J22" s="10"/>
      <c r="K22" s="10"/>
      <c r="L22" s="11"/>
      <c r="M22" s="9"/>
      <c r="N22" s="15" t="s">
        <v>23</v>
      </c>
      <c r="O22" s="5">
        <v>1000</v>
      </c>
      <c r="P22" s="4" t="s">
        <v>14</v>
      </c>
      <c r="Q22" s="10"/>
      <c r="R22" s="10"/>
      <c r="S22" s="10"/>
      <c r="T22" s="10"/>
      <c r="U22" s="10"/>
      <c r="V22" s="10"/>
      <c r="W22" s="11"/>
    </row>
    <row r="23" spans="2:23" x14ac:dyDescent="0.25">
      <c r="B23" s="9"/>
      <c r="C23" s="15" t="s">
        <v>24</v>
      </c>
      <c r="D23" s="4">
        <f>-D22/D19*D4</f>
        <v>220.00000000000003</v>
      </c>
      <c r="E23" s="4" t="s">
        <v>14</v>
      </c>
      <c r="F23" s="10"/>
      <c r="G23" s="10"/>
      <c r="H23" s="10"/>
      <c r="I23" s="10"/>
      <c r="J23" s="10"/>
      <c r="K23" s="10"/>
      <c r="L23" s="11"/>
      <c r="M23" s="9"/>
      <c r="N23" s="15" t="s">
        <v>24</v>
      </c>
      <c r="O23" s="4">
        <f>-O22/O19*D4</f>
        <v>220.00000000000003</v>
      </c>
      <c r="P23" s="4" t="s">
        <v>14</v>
      </c>
      <c r="Q23" s="10"/>
      <c r="R23" s="10"/>
      <c r="S23" s="10"/>
      <c r="T23" s="10"/>
      <c r="U23" s="10"/>
      <c r="V23" s="10"/>
      <c r="W23" s="11"/>
    </row>
    <row r="24" spans="2:23" ht="16.5" thickBot="1" x14ac:dyDescent="0.3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4"/>
      <c r="M24" s="12"/>
      <c r="N24" s="13"/>
      <c r="O24" s="13"/>
      <c r="P24" s="13"/>
      <c r="Q24" s="13"/>
      <c r="R24" s="13"/>
      <c r="S24" s="13"/>
      <c r="T24" s="13"/>
      <c r="U24" s="13"/>
      <c r="V24" s="13"/>
      <c r="W24" s="14"/>
    </row>
    <row r="25" spans="2:23" ht="16.5" thickBot="1" x14ac:dyDescent="0.3"/>
    <row r="26" spans="2:23" ht="24.75" thickBot="1" x14ac:dyDescent="0.3">
      <c r="B26" s="18" t="s">
        <v>25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20"/>
    </row>
    <row r="27" spans="2:23" x14ac:dyDescent="0.25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2:23" x14ac:dyDescent="0.25">
      <c r="B28" s="9"/>
      <c r="C28" s="15" t="s">
        <v>26</v>
      </c>
      <c r="D28" s="5">
        <v>300</v>
      </c>
      <c r="E28" s="4" t="s">
        <v>28</v>
      </c>
      <c r="F28" s="10"/>
      <c r="G28" s="15" t="s">
        <v>27</v>
      </c>
      <c r="H28" s="4">
        <f>-D28</f>
        <v>-300</v>
      </c>
      <c r="I28" s="4" t="s">
        <v>28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2:23" ht="16.5" thickBot="1" x14ac:dyDescent="0.3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2:23" ht="21.75" thickBot="1" x14ac:dyDescent="0.3">
      <c r="B30" s="21" t="s">
        <v>18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  <c r="M30" s="21" t="s">
        <v>19</v>
      </c>
      <c r="N30" s="22"/>
      <c r="O30" s="22"/>
      <c r="P30" s="22"/>
      <c r="Q30" s="22"/>
      <c r="R30" s="22"/>
      <c r="S30" s="22"/>
      <c r="T30" s="22"/>
      <c r="U30" s="22"/>
      <c r="V30" s="22"/>
      <c r="W30" s="23"/>
    </row>
    <row r="31" spans="2:23" x14ac:dyDescent="0.25">
      <c r="B31" s="6"/>
      <c r="C31" s="7"/>
      <c r="D31" s="7"/>
      <c r="E31" s="7"/>
      <c r="F31" s="7"/>
      <c r="G31" s="7"/>
      <c r="H31" s="7"/>
      <c r="I31" s="7"/>
      <c r="J31" s="7"/>
      <c r="K31" s="7"/>
      <c r="L31" s="8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2:23" x14ac:dyDescent="0.25">
      <c r="B32" s="9"/>
      <c r="C32" s="15" t="s">
        <v>5</v>
      </c>
      <c r="D32" s="4">
        <v>5</v>
      </c>
      <c r="E32" s="4" t="s">
        <v>6</v>
      </c>
      <c r="F32" s="10"/>
      <c r="G32" s="2" t="s">
        <v>33</v>
      </c>
      <c r="H32" s="2" t="s">
        <v>1</v>
      </c>
      <c r="I32" s="2" t="s">
        <v>29</v>
      </c>
      <c r="J32" s="2" t="s">
        <v>36</v>
      </c>
      <c r="K32" s="10"/>
      <c r="L32" s="11"/>
      <c r="M32" s="9"/>
      <c r="N32" s="15" t="s">
        <v>5</v>
      </c>
      <c r="O32" s="4">
        <v>3.3</v>
      </c>
      <c r="P32" s="4" t="s">
        <v>6</v>
      </c>
      <c r="Q32" s="10"/>
      <c r="R32" s="2" t="s">
        <v>33</v>
      </c>
      <c r="S32" s="2" t="s">
        <v>1</v>
      </c>
      <c r="T32" s="2" t="s">
        <v>29</v>
      </c>
      <c r="U32" s="2" t="s">
        <v>36</v>
      </c>
      <c r="V32" s="10"/>
      <c r="W32" s="11"/>
    </row>
    <row r="33" spans="2:23" x14ac:dyDescent="0.25">
      <c r="B33" s="9"/>
      <c r="C33" s="15" t="s">
        <v>40</v>
      </c>
      <c r="D33" s="4">
        <v>10</v>
      </c>
      <c r="E33" s="4" t="s">
        <v>8</v>
      </c>
      <c r="F33" s="10"/>
      <c r="G33" s="5">
        <v>0</v>
      </c>
      <c r="H33" s="4">
        <f>-($D$42*($D$41/$D$40))-($D$41*(G33/1000000))</f>
        <v>2.5</v>
      </c>
      <c r="I33" s="4">
        <f>MIN(MAX(H33,$D$36+$D$38),$D$35-$D$37)</f>
        <v>2.5</v>
      </c>
      <c r="J33" s="4">
        <f>I33*$D$34/$D$32</f>
        <v>511.5</v>
      </c>
      <c r="K33" s="10"/>
      <c r="L33" s="11"/>
      <c r="M33" s="9"/>
      <c r="N33" s="15" t="s">
        <v>40</v>
      </c>
      <c r="O33" s="4">
        <v>12</v>
      </c>
      <c r="P33" s="4" t="s">
        <v>8</v>
      </c>
      <c r="Q33" s="10"/>
      <c r="R33" s="5">
        <v>0</v>
      </c>
      <c r="S33" s="4">
        <f>-($O$42*($O$41/$O$40))-($O$41*(R33/1000000))</f>
        <v>1.59375</v>
      </c>
      <c r="T33" s="4">
        <f>MIN(MAX(S33,$O$36+$O$38),$O$35-$O$37)</f>
        <v>1.59375</v>
      </c>
      <c r="U33" s="4">
        <f>T33*$O$34/$O$32</f>
        <v>1977.6988636363637</v>
      </c>
      <c r="V33" s="10"/>
      <c r="W33" s="11"/>
    </row>
    <row r="34" spans="2:23" x14ac:dyDescent="0.25">
      <c r="B34" s="9"/>
      <c r="C34" s="15" t="s">
        <v>41</v>
      </c>
      <c r="D34" s="4">
        <f>POWER(2,D33)-1</f>
        <v>1023</v>
      </c>
      <c r="E34" s="4"/>
      <c r="F34" s="10"/>
      <c r="G34" s="3">
        <f>$H$28</f>
        <v>-300</v>
      </c>
      <c r="H34" s="4">
        <f>-($D$42*($D$41/$D$40))-($D$41*(G34/1000000))</f>
        <v>4.75</v>
      </c>
      <c r="I34" s="4">
        <f t="shared" ref="I34:I35" si="0">MIN(MAX(H34,$D$36+$D$38),$D$35-$D$37)</f>
        <v>4.75</v>
      </c>
      <c r="J34" s="4">
        <f>I34*$D$34/$D$32</f>
        <v>971.85</v>
      </c>
      <c r="K34" s="10"/>
      <c r="L34" s="11"/>
      <c r="M34" s="9"/>
      <c r="N34" s="15" t="s">
        <v>41</v>
      </c>
      <c r="O34" s="4">
        <f>POWER(2,O33)-1</f>
        <v>4095</v>
      </c>
      <c r="P34" s="4"/>
      <c r="Q34" s="10"/>
      <c r="R34" s="3">
        <f>$H$28</f>
        <v>-300</v>
      </c>
      <c r="S34" s="4">
        <f>-($O$42*($O$41/$O$40))-($O$41*(R34/1000000))</f>
        <v>3.1237499999999998</v>
      </c>
      <c r="T34" s="4">
        <f t="shared" ref="T34:T35" si="1">MIN(MAX(S34,$O$36+$O$38),$O$35-$O$37)</f>
        <v>3.1237499999999998</v>
      </c>
      <c r="U34" s="4">
        <f t="shared" ref="U34:U35" si="2">T34*$O$34/$O$32</f>
        <v>3876.2897727272725</v>
      </c>
      <c r="V34" s="10"/>
      <c r="W34" s="11"/>
    </row>
    <row r="35" spans="2:23" x14ac:dyDescent="0.25">
      <c r="B35" s="9"/>
      <c r="C35" s="15" t="s">
        <v>15</v>
      </c>
      <c r="D35" s="5">
        <v>6.5</v>
      </c>
      <c r="E35" s="4" t="s">
        <v>6</v>
      </c>
      <c r="F35" s="10"/>
      <c r="G35" s="3">
        <f>$D$28</f>
        <v>300</v>
      </c>
      <c r="H35" s="4">
        <f>-($D$42*($D$41/$D$40))-($D$41*(G35/1000000))</f>
        <v>0.25</v>
      </c>
      <c r="I35" s="4">
        <f t="shared" si="0"/>
        <v>0.25</v>
      </c>
      <c r="J35" s="4">
        <f>I35*$D$34/$D$32</f>
        <v>51.15</v>
      </c>
      <c r="K35" s="10"/>
      <c r="L35" s="11"/>
      <c r="M35" s="9"/>
      <c r="N35" s="15" t="s">
        <v>15</v>
      </c>
      <c r="O35" s="5">
        <v>6.5</v>
      </c>
      <c r="P35" s="4" t="s">
        <v>6</v>
      </c>
      <c r="Q35" s="10"/>
      <c r="R35" s="3">
        <f>$D$28</f>
        <v>300</v>
      </c>
      <c r="S35" s="4">
        <f>-($O$42*($O$41/$O$40))-($O$41*(R35/1000000))</f>
        <v>6.3750000000000195E-2</v>
      </c>
      <c r="T35" s="4">
        <f t="shared" si="1"/>
        <v>6.3750000000000195E-2</v>
      </c>
      <c r="U35" s="4">
        <f t="shared" si="2"/>
        <v>79.107954545454788</v>
      </c>
      <c r="V35" s="10"/>
      <c r="W35" s="11"/>
    </row>
    <row r="36" spans="2:23" x14ac:dyDescent="0.25">
      <c r="B36" s="9"/>
      <c r="C36" s="15" t="s">
        <v>16</v>
      </c>
      <c r="D36" s="5">
        <v>-6.5</v>
      </c>
      <c r="E36" s="4" t="s">
        <v>6</v>
      </c>
      <c r="F36" s="10"/>
      <c r="G36" s="10"/>
      <c r="H36" s="10"/>
      <c r="I36" s="10"/>
      <c r="J36" s="10"/>
      <c r="K36" s="10"/>
      <c r="L36" s="11"/>
      <c r="M36" s="9"/>
      <c r="N36" s="15" t="s">
        <v>16</v>
      </c>
      <c r="O36" s="5">
        <v>-6.5</v>
      </c>
      <c r="P36" s="4" t="s">
        <v>6</v>
      </c>
      <c r="Q36" s="10"/>
      <c r="R36" s="10"/>
      <c r="S36" s="10"/>
      <c r="T36" s="10"/>
      <c r="U36" s="10"/>
      <c r="V36" s="10"/>
      <c r="W36" s="11"/>
    </row>
    <row r="37" spans="2:23" x14ac:dyDescent="0.25">
      <c r="B37" s="9"/>
      <c r="C37" s="15" t="s">
        <v>37</v>
      </c>
      <c r="D37" s="4">
        <v>1.5</v>
      </c>
      <c r="E37" s="4" t="s">
        <v>6</v>
      </c>
      <c r="F37" s="10"/>
      <c r="G37" s="2" t="s">
        <v>33</v>
      </c>
      <c r="H37" s="2" t="s">
        <v>1</v>
      </c>
      <c r="I37" s="2" t="s">
        <v>29</v>
      </c>
      <c r="J37" s="2" t="s">
        <v>36</v>
      </c>
      <c r="K37" s="10"/>
      <c r="L37" s="11"/>
      <c r="M37" s="9"/>
      <c r="N37" s="15" t="s">
        <v>37</v>
      </c>
      <c r="O37" s="4">
        <v>1.5</v>
      </c>
      <c r="P37" s="4" t="s">
        <v>6</v>
      </c>
      <c r="Q37" s="10"/>
      <c r="R37" s="2" t="s">
        <v>33</v>
      </c>
      <c r="S37" s="2" t="s">
        <v>1</v>
      </c>
      <c r="T37" s="2" t="s">
        <v>29</v>
      </c>
      <c r="U37" s="2" t="s">
        <v>36</v>
      </c>
      <c r="V37" s="10"/>
      <c r="W37" s="11"/>
    </row>
    <row r="38" spans="2:23" x14ac:dyDescent="0.25">
      <c r="B38" s="9"/>
      <c r="C38" s="15" t="s">
        <v>38</v>
      </c>
      <c r="D38" s="4">
        <v>2E-3</v>
      </c>
      <c r="E38" s="4" t="s">
        <v>6</v>
      </c>
      <c r="F38" s="10"/>
      <c r="G38" s="3">
        <f>-(($D$42/$D$40)+(H38/$D$41))*1000000</f>
        <v>0</v>
      </c>
      <c r="H38" s="4">
        <f>I38</f>
        <v>2.5</v>
      </c>
      <c r="I38" s="5">
        <f>I39/2</f>
        <v>2.5</v>
      </c>
      <c r="J38" s="4">
        <f>I38*$D$34/$D$32</f>
        <v>511.5</v>
      </c>
      <c r="K38" s="10"/>
      <c r="L38" s="11"/>
      <c r="M38" s="9"/>
      <c r="N38" s="15" t="s">
        <v>38</v>
      </c>
      <c r="O38" s="4">
        <v>2E-3</v>
      </c>
      <c r="P38" s="4" t="s">
        <v>6</v>
      </c>
      <c r="Q38" s="10"/>
      <c r="R38" s="3">
        <f>-(($O$42/$O$40)+(S38/$O$41))*1000000</f>
        <v>-11.029411764705847</v>
      </c>
      <c r="S38" s="4">
        <f>T38</f>
        <v>1.65</v>
      </c>
      <c r="T38" s="5">
        <f>T39/2</f>
        <v>1.65</v>
      </c>
      <c r="U38" s="4">
        <f>T38*$O$34/$O$32</f>
        <v>2047.5</v>
      </c>
      <c r="V38" s="10"/>
      <c r="W38" s="11"/>
    </row>
    <row r="39" spans="2:23" x14ac:dyDescent="0.25">
      <c r="B39" s="9"/>
      <c r="C39" s="10"/>
      <c r="D39" s="10"/>
      <c r="E39" s="10"/>
      <c r="F39" s="10"/>
      <c r="G39" s="17">
        <f>-(($D$42/$D$40)+(H39/$D$41))*1000000</f>
        <v>-333.33333333333331</v>
      </c>
      <c r="H39" s="4">
        <f>I39</f>
        <v>5</v>
      </c>
      <c r="I39" s="4">
        <f>$D$32</f>
        <v>5</v>
      </c>
      <c r="J39" s="4">
        <f>I39*$D$34/$D$32</f>
        <v>1023</v>
      </c>
      <c r="K39" s="10"/>
      <c r="L39" s="11"/>
      <c r="M39" s="9"/>
      <c r="N39" s="10"/>
      <c r="O39" s="10"/>
      <c r="P39" s="10"/>
      <c r="Q39" s="10"/>
      <c r="R39" s="17">
        <f t="shared" ref="R39:R40" si="3">-(($O$42/$O$40)+(S39/$O$41))*1000000</f>
        <v>-334.55882352941171</v>
      </c>
      <c r="S39" s="4">
        <f t="shared" ref="S39:S40" si="4">T39</f>
        <v>3.3</v>
      </c>
      <c r="T39" s="4">
        <f>$O$32</f>
        <v>3.3</v>
      </c>
      <c r="U39" s="4">
        <f t="shared" ref="U39:U40" si="5">T39*$O$34/$O$32</f>
        <v>4095</v>
      </c>
      <c r="V39" s="10"/>
      <c r="W39" s="11"/>
    </row>
    <row r="40" spans="2:23" x14ac:dyDescent="0.25">
      <c r="B40" s="9"/>
      <c r="C40" s="15" t="s">
        <v>30</v>
      </c>
      <c r="D40" s="4">
        <v>15000</v>
      </c>
      <c r="E40" s="4" t="s">
        <v>14</v>
      </c>
      <c r="F40" s="10"/>
      <c r="G40" s="17">
        <f t="shared" ref="G40" si="6">-(($D$42/$D$40)+(H40/$D$41))*1000000</f>
        <v>333.33333333333331</v>
      </c>
      <c r="H40" s="4">
        <f>I40</f>
        <v>0</v>
      </c>
      <c r="I40" s="4">
        <v>0</v>
      </c>
      <c r="J40" s="4">
        <f>I40*$D$34/$D$32</f>
        <v>0</v>
      </c>
      <c r="K40" s="10"/>
      <c r="L40" s="11"/>
      <c r="M40" s="9"/>
      <c r="N40" s="15" t="s">
        <v>30</v>
      </c>
      <c r="O40" s="4">
        <v>16000</v>
      </c>
      <c r="P40" s="4" t="s">
        <v>14</v>
      </c>
      <c r="Q40" s="10"/>
      <c r="R40" s="17">
        <f t="shared" si="3"/>
        <v>312.5</v>
      </c>
      <c r="S40" s="4">
        <f t="shared" si="4"/>
        <v>0</v>
      </c>
      <c r="T40" s="4">
        <v>0</v>
      </c>
      <c r="U40" s="4">
        <f t="shared" si="5"/>
        <v>0</v>
      </c>
      <c r="V40" s="10"/>
      <c r="W40" s="11"/>
    </row>
    <row r="41" spans="2:23" x14ac:dyDescent="0.25">
      <c r="B41" s="9"/>
      <c r="C41" s="15" t="s">
        <v>31</v>
      </c>
      <c r="D41" s="4">
        <v>7500</v>
      </c>
      <c r="E41" s="4" t="s">
        <v>14</v>
      </c>
      <c r="F41" s="10"/>
      <c r="G41" s="10"/>
      <c r="H41" s="10"/>
      <c r="I41" s="10"/>
      <c r="J41" s="10"/>
      <c r="K41" s="10"/>
      <c r="L41" s="11"/>
      <c r="M41" s="9"/>
      <c r="N41" s="15" t="s">
        <v>31</v>
      </c>
      <c r="O41" s="4">
        <v>5100</v>
      </c>
      <c r="P41" s="4" t="s">
        <v>14</v>
      </c>
      <c r="Q41" s="10"/>
      <c r="R41" s="10"/>
      <c r="S41" s="10"/>
      <c r="T41" s="10"/>
      <c r="U41" s="10"/>
      <c r="V41" s="10"/>
      <c r="W41" s="11"/>
    </row>
    <row r="42" spans="2:23" x14ac:dyDescent="0.25">
      <c r="B42" s="9"/>
      <c r="C42" s="15" t="s">
        <v>32</v>
      </c>
      <c r="D42" s="4">
        <v>-5</v>
      </c>
      <c r="E42" s="4" t="s">
        <v>6</v>
      </c>
      <c r="F42" s="10"/>
      <c r="G42" s="15" t="s">
        <v>40</v>
      </c>
      <c r="H42" s="24">
        <f>D32/(D34+1)</f>
        <v>4.8828125E-3</v>
      </c>
      <c r="I42" s="4" t="s">
        <v>6</v>
      </c>
      <c r="J42" s="10"/>
      <c r="K42" s="10"/>
      <c r="L42" s="11"/>
      <c r="M42" s="9"/>
      <c r="N42" s="15" t="s">
        <v>32</v>
      </c>
      <c r="O42" s="4">
        <v>-5</v>
      </c>
      <c r="P42" s="4" t="s">
        <v>6</v>
      </c>
      <c r="Q42" s="10"/>
      <c r="R42" s="15" t="s">
        <v>40</v>
      </c>
      <c r="S42" s="24">
        <f>O32/(O34+1)</f>
        <v>8.0566406249999996E-4</v>
      </c>
      <c r="T42" s="4" t="s">
        <v>6</v>
      </c>
      <c r="U42" s="10"/>
      <c r="V42" s="10"/>
      <c r="W42" s="11"/>
    </row>
    <row r="43" spans="2:23" x14ac:dyDescent="0.25">
      <c r="B43" s="9"/>
      <c r="C43" s="16"/>
      <c r="D43" s="10"/>
      <c r="E43" s="10"/>
      <c r="F43" s="10"/>
      <c r="G43" s="15" t="s">
        <v>42</v>
      </c>
      <c r="H43" s="24">
        <f>(G40-G39)/(D34+1)</f>
        <v>0.65104166666666663</v>
      </c>
      <c r="I43" s="4" t="s">
        <v>28</v>
      </c>
      <c r="J43" s="10"/>
      <c r="K43" s="10"/>
      <c r="L43" s="11"/>
      <c r="M43" s="9"/>
      <c r="N43" s="16"/>
      <c r="O43" s="10"/>
      <c r="P43" s="10"/>
      <c r="Q43" s="10"/>
      <c r="R43" s="15" t="s">
        <v>42</v>
      </c>
      <c r="S43" s="24">
        <f>(R40-R39)/(O34+1)</f>
        <v>0.15797334558823528</v>
      </c>
      <c r="T43" s="4" t="s">
        <v>28</v>
      </c>
      <c r="U43" s="10"/>
      <c r="V43" s="10"/>
      <c r="W43" s="11"/>
    </row>
    <row r="44" spans="2:23" x14ac:dyDescent="0.25">
      <c r="B44" s="9"/>
      <c r="C44" s="15" t="s">
        <v>34</v>
      </c>
      <c r="D44" s="25">
        <f>-$D$42/($D$28/1000000)</f>
        <v>16666.666666666668</v>
      </c>
      <c r="E44" s="4" t="s">
        <v>14</v>
      </c>
      <c r="F44" s="10"/>
      <c r="G44" s="10"/>
      <c r="H44" s="10"/>
      <c r="I44" s="10"/>
      <c r="J44" s="10"/>
      <c r="K44" s="10"/>
      <c r="L44" s="11"/>
      <c r="M44" s="9"/>
      <c r="N44" s="15" t="s">
        <v>22</v>
      </c>
      <c r="O44" s="4">
        <f>-$O$42/($D$28/1000000)</f>
        <v>16666.666666666668</v>
      </c>
      <c r="P44" s="4" t="s">
        <v>14</v>
      </c>
      <c r="Q44" s="10"/>
      <c r="R44" s="10"/>
      <c r="S44" s="10"/>
      <c r="T44" s="10"/>
      <c r="U44" s="10"/>
      <c r="V44" s="10"/>
      <c r="W44" s="11"/>
    </row>
    <row r="45" spans="2:23" x14ac:dyDescent="0.25">
      <c r="B45" s="9"/>
      <c r="C45" s="15" t="s">
        <v>35</v>
      </c>
      <c r="D45" s="3">
        <f>-$D$44*$D$32/(2*$D$42)</f>
        <v>8333.3333333333339</v>
      </c>
      <c r="E45" s="4" t="s">
        <v>14</v>
      </c>
      <c r="F45" s="10"/>
      <c r="G45" s="10"/>
      <c r="H45" s="10"/>
      <c r="I45" s="10"/>
      <c r="J45" s="10"/>
      <c r="K45" s="10"/>
      <c r="L45" s="11"/>
      <c r="M45" s="9"/>
      <c r="N45" s="15" t="s">
        <v>23</v>
      </c>
      <c r="O45" s="3">
        <f>-$O$44*$O$32/(2*$O$42)</f>
        <v>5500</v>
      </c>
      <c r="P45" s="4" t="s">
        <v>14</v>
      </c>
      <c r="Q45" s="10"/>
      <c r="R45" s="10"/>
      <c r="S45" s="10"/>
      <c r="T45" s="10"/>
      <c r="U45" s="10"/>
      <c r="V45" s="10"/>
      <c r="W45" s="11"/>
    </row>
    <row r="46" spans="2:23" ht="16.5" thickBot="1" x14ac:dyDescent="0.3"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4"/>
      <c r="M46" s="12"/>
      <c r="N46" s="13"/>
      <c r="O46" s="13"/>
      <c r="P46" s="13"/>
      <c r="Q46" s="13"/>
      <c r="R46" s="13"/>
      <c r="S46" s="13"/>
      <c r="T46" s="13"/>
      <c r="U46" s="13"/>
      <c r="V46" s="13"/>
      <c r="W46" s="14"/>
    </row>
  </sheetData>
  <mergeCells count="6">
    <mergeCell ref="B26:W26"/>
    <mergeCell ref="B30:L30"/>
    <mergeCell ref="M30:W30"/>
    <mergeCell ref="B2:W2"/>
    <mergeCell ref="B6:L6"/>
    <mergeCell ref="M6:W6"/>
  </mergeCells>
  <conditionalFormatting sqref="I9:I11 I14:I16">
    <cfRule type="cellIs" dxfId="11" priority="18" operator="notBetween">
      <formula>$D$12+$D$13</formula>
      <formula>$D$11-$D$13</formula>
    </cfRule>
  </conditionalFormatting>
  <conditionalFormatting sqref="T9:T11 T14:T16">
    <cfRule type="cellIs" dxfId="10" priority="17" operator="notBetween">
      <formula>$O$12+$O$13</formula>
      <formula>$O$11-$O$13</formula>
    </cfRule>
  </conditionalFormatting>
  <conditionalFormatting sqref="R14:R16 R9:R11">
    <cfRule type="cellIs" dxfId="9" priority="16" operator="notBetween">
      <formula>0</formula>
      <formula>$O$10</formula>
    </cfRule>
  </conditionalFormatting>
  <conditionalFormatting sqref="G14:G16 G9:G11">
    <cfRule type="cellIs" dxfId="8" priority="15" operator="notBetween">
      <formula>0</formula>
      <formula>$D$10</formula>
    </cfRule>
  </conditionalFormatting>
  <conditionalFormatting sqref="T41 I33:I35">
    <cfRule type="cellIs" dxfId="7" priority="14" operator="notBetween">
      <formula>0</formula>
      <formula>$D$32</formula>
    </cfRule>
  </conditionalFormatting>
  <conditionalFormatting sqref="T33:T35">
    <cfRule type="cellIs" dxfId="6" priority="13" operator="notBetween">
      <formula>0</formula>
      <formula>$O$32</formula>
    </cfRule>
  </conditionalFormatting>
  <conditionalFormatting sqref="I38:I40">
    <cfRule type="cellIs" dxfId="5" priority="12" operator="notBetween">
      <formula>0</formula>
      <formula>$D$32</formula>
    </cfRule>
  </conditionalFormatting>
  <conditionalFormatting sqref="T38:T40">
    <cfRule type="cellIs" dxfId="4" priority="11" operator="notBetween">
      <formula>0</formula>
      <formula>$D$32</formula>
    </cfRule>
  </conditionalFormatting>
  <conditionalFormatting sqref="S33:S35 S38:S41 R41">
    <cfRule type="cellIs" dxfId="3" priority="10" operator="notBetween">
      <formula>$O$36+$O$37</formula>
      <formula>$O$35-$O$37</formula>
    </cfRule>
  </conditionalFormatting>
  <conditionalFormatting sqref="H33:H35 H38:H40">
    <cfRule type="cellIs" dxfId="2" priority="9" operator="notBetween">
      <formula>$D$36+$D$37</formula>
      <formula>$D$35-$D$37</formula>
    </cfRule>
  </conditionalFormatting>
  <conditionalFormatting sqref="J33:J35 J38:J40">
    <cfRule type="cellIs" dxfId="1" priority="8" operator="notBetween">
      <formula>0</formula>
      <formula>$D$34</formula>
    </cfRule>
  </conditionalFormatting>
  <conditionalFormatting sqref="U33:U35 U38:U41">
    <cfRule type="cellIs" dxfId="0" priority="1" operator="notBetween">
      <formula>0</formula>
      <formula>$O$34</formula>
    </cfRule>
  </conditionalFormatting>
  <pageMargins left="0.7" right="0.7" top="0.75" bottom="0.75" header="0.3" footer="0.3"/>
  <pageSetup paperSize="9" orientation="portrait" verticalDpi="0" r:id="rId1"/>
  <headerFooter>
    <oddFooter>&amp;L&amp;1#&amp;"Calibri"&amp;10&amp;K000000CONFIDENTIAL</oddFooter>
  </headerFooter>
  <ignoredErrors>
    <ignoredError sqref="J9:J11 I14:I16 T14:T16 U9:U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Álvarez Díaz</dc:creator>
  <cp:lastModifiedBy>Jaime Álvarez Díaz</cp:lastModifiedBy>
  <dcterms:created xsi:type="dcterms:W3CDTF">2025-02-05T08:25:50Z</dcterms:created>
  <dcterms:modified xsi:type="dcterms:W3CDTF">2025-02-07T09:21:06Z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507954-a05d-4909-b89b-c9e1dac57c63_Enabled">
    <vt:lpwstr>true</vt:lpwstr>
  </property>
  <property fmtid="{D5CDD505-2E9C-101B-9397-08002B2CF9AE}" pid="3" name="MSIP_Label_bb507954-a05d-4909-b89b-c9e1dac57c63_SetDate">
    <vt:lpwstr>2025-02-07T09:21:06Z</vt:lpwstr>
  </property>
  <property fmtid="{D5CDD505-2E9C-101B-9397-08002B2CF9AE}" pid="4" name="MSIP_Label_bb507954-a05d-4909-b89b-c9e1dac57c63_Method">
    <vt:lpwstr>Standard</vt:lpwstr>
  </property>
  <property fmtid="{D5CDD505-2E9C-101B-9397-08002B2CF9AE}" pid="5" name="MSIP_Label_bb507954-a05d-4909-b89b-c9e1dac57c63_Name">
    <vt:lpwstr>Confidential</vt:lpwstr>
  </property>
  <property fmtid="{D5CDD505-2E9C-101B-9397-08002B2CF9AE}" pid="6" name="MSIP_Label_bb507954-a05d-4909-b89b-c9e1dac57c63_SiteId">
    <vt:lpwstr>d387037d-5e02-41d2-b63c-48e04ea659db</vt:lpwstr>
  </property>
  <property fmtid="{D5CDD505-2E9C-101B-9397-08002B2CF9AE}" pid="7" name="MSIP_Label_bb507954-a05d-4909-b89b-c9e1dac57c63_ActionId">
    <vt:lpwstr>1897dee5-3b4b-424a-94b1-9076283c4c2b</vt:lpwstr>
  </property>
  <property fmtid="{D5CDD505-2E9C-101B-9397-08002B2CF9AE}" pid="8" name="MSIP_Label_bb507954-a05d-4909-b89b-c9e1dac57c63_ContentBits">
    <vt:lpwstr>2</vt:lpwstr>
  </property>
</Properties>
</file>